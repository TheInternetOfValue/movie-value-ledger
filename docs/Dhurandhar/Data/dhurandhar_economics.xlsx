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lm Basics" sheetId="1" r:id="rId4"/>
    <sheet state="visible" name="Macro Account" sheetId="2" r:id="rId5"/>
    <sheet state="visible" name="Income Account" sheetId="3" r:id="rId6"/>
    <sheet state="visible" name="Flow Account" sheetId="4" r:id="rId7"/>
    <sheet state="visible" name="Micro Business" sheetId="5" r:id="rId8"/>
    <sheet state="visible" name="Cast &amp; Salaries" sheetId="6" r:id="rId9"/>
    <sheet state="visible" name="Community Metrics" sheetId="7" r:id="rId10"/>
    <sheet state="visible" name="Sentiment Summary" sheetId="8" r:id="rId11"/>
    <sheet state="visible" name="Sources &amp; Confidence" sheetId="9" r:id="rId12"/>
  </sheets>
  <definedNames/>
  <calcPr/>
  <extLst>
    <ext uri="GoogleSheetsCustomDataVersion2">
      <go:sheetsCustomData xmlns:go="http://customooxmlschemas.google.com/" r:id="rId13" roundtripDataChecksum="jbe505qPJfThifDY8PAUqTc2vyTUFNDj4ArxDANmLrg="/>
    </ext>
  </extLst>
</workbook>
</file>

<file path=xl/sharedStrings.xml><?xml version="1.0" encoding="utf-8"?>
<sst xmlns="http://schemas.openxmlformats.org/spreadsheetml/2006/main" count="203" uniqueCount="141">
  <si>
    <t>Film</t>
  </si>
  <si>
    <t>Part</t>
  </si>
  <si>
    <t>Release date</t>
  </si>
  <si>
    <t>Runtime (min)</t>
  </si>
  <si>
    <t>Languages</t>
  </si>
  <si>
    <t>Director</t>
  </si>
  <si>
    <t>Producers</t>
  </si>
  <si>
    <t>Studios</t>
  </si>
  <si>
    <t>Distributor</t>
  </si>
  <si>
    <t>Dhurandhar</t>
  </si>
  <si>
    <t>Part 1</t>
  </si>
  <si>
    <t>5 Dec 2025</t>
  </si>
  <si>
    <t>Hindi (theatrical); later dubbed/re-release limited</t>
  </si>
  <si>
    <t>Aditya Dhar</t>
  </si>
  <si>
    <t>Jyoti Deshpande, Aditya Dhar, Lokesh Dhar</t>
  </si>
  <si>
    <t>Jio Studios, B62 Studios</t>
  </si>
  <si>
    <t>Jio Studios (India &amp; overseas partners)</t>
  </si>
  <si>
    <t>Dhurandhar: The Revenge</t>
  </si>
  <si>
    <t>Part 2</t>
  </si>
  <si>
    <t>19 Mar 2026</t>
  </si>
  <si>
    <t>Hindi, Telugu, Tamil, Kannada, Malayalam</t>
  </si>
  <si>
    <t>Jio Studios (pan-India &amp; overseas partners)</t>
  </si>
  <si>
    <t>Budget (₹ Cr, central)</t>
  </si>
  <si>
    <t>Budget range (₹ Cr)</t>
  </si>
  <si>
    <t>India net BO (₹ Cr)</t>
  </si>
  <si>
    <t>India net range</t>
  </si>
  <si>
    <t>India gross (₹ Cr)</t>
  </si>
  <si>
    <t>Overseas gross (₹ Cr)</t>
  </si>
  <si>
    <t>Worldwide gross (₹ Cr)</t>
  </si>
  <si>
    <t>Worldwide range</t>
  </si>
  <si>
    <t>Estimated non-theatrical (₹ Cr)</t>
  </si>
  <si>
    <t>Footfalls (crore)</t>
  </si>
  <si>
    <t>Budget-to-gross multiple (x)</t>
  </si>
  <si>
    <t>225–280</t>
  </si>
  <si>
    <t>820–894</t>
  </si>
  <si>
    <t>1188–1354</t>
  </si>
  <si>
    <t>250–350</t>
  </si>
  <si>
    <t>135–145 (Day 0+1 only)</t>
  </si>
  <si>
    <t>200–250 (preliminary)</t>
  </si>
  <si>
    <t>Producers share of India net (%)</t>
  </si>
  <si>
    <t>Exhibitors share of India net (%)</t>
  </si>
  <si>
    <t>Talent &amp; key crew share of producers receipts (%)</t>
  </si>
  <si>
    <t>Other overheads &amp; financing (%)</t>
  </si>
  <si>
    <t>Dhurandhar: The Revenge (projected pattern)</t>
  </si>
  <si>
    <t>Phase</t>
  </si>
  <si>
    <t>Description of money flow</t>
  </si>
  <si>
    <t>Production (2014–2025)</t>
  </si>
  <si>
    <t>Staggered production spend across sets, locations, VFX, salaries, spread over ~18–24 months.</t>
  </si>
  <si>
    <t>Theatrical run (Dec 2025–Feb 2026)</t>
  </si>
  <si>
    <t>High-velocity revenue inflow: rapid box office collections with strong weekday hold and long tail.</t>
  </si>
  <si>
    <t>Post-theatrical</t>
  </si>
  <si>
    <t>Lump-sum and staggered cash from OTT, satellite and music rights layered over 1–3 years.</t>
  </si>
  <si>
    <t>Production (shot alongside Part 1)</t>
  </si>
  <si>
    <t>Incremental spend lower than a standalone film because core sets, VFX pipelines and writing staff were already in place.</t>
  </si>
  <si>
    <t>Release window (from Mar 2026)</t>
  </si>
  <si>
    <t>Front‑loaded cash from record paid previews and opening day, followed by regular theatrical settlement cycles.</t>
  </si>
  <si>
    <t>Forward-looking ecosystem impact</t>
  </si>
  <si>
    <t>Non-theatrical deals and franchise halo expected to recycle value into future Aditya Dhar/Jio Studios projects.</t>
  </si>
  <si>
    <t>Key production entities</t>
  </si>
  <si>
    <t>Primary financiers / owners</t>
  </si>
  <si>
    <t>Indicative model notes</t>
  </si>
  <si>
    <t>Jio Studios (Reliance group) + Aditya Dhar / B62 as creative producers</t>
  </si>
  <si>
    <t>Large negative‑pickup style studio film; majority risk borne by Jio Studios with downstream recovery from theatrical + non-theatrical rights.</t>
  </si>
  <si>
    <t>Same financing spine as Part 1; sequel benefits from costs already sunk in shared production schedule</t>
  </si>
  <si>
    <t>High‑margin sequel economics: substantial non-theatrical pre-sales and shared production assets make incremental ROI stronger than Part 1 on each new rupee of revenue.</t>
  </si>
  <si>
    <t>Person</t>
  </si>
  <si>
    <t>Role</t>
  </si>
  <si>
    <t>Reported fee (₹ Cr)</t>
  </si>
  <si>
    <t>Notes</t>
  </si>
  <si>
    <t>Ranveer Singh</t>
  </si>
  <si>
    <t>Lead (Hamza Ali Mazari)</t>
  </si>
  <si>
    <t>Reported fee around ₹50 Cr for Part 1; also cited as franchise fee across duology in some reports.</t>
  </si>
  <si>
    <t>Sanjay Dutt</t>
  </si>
  <si>
    <t>Key support</t>
  </si>
  <si>
    <t>Approximate figure from budget breakdown post.</t>
  </si>
  <si>
    <t>R. Madhavan</t>
  </si>
  <si>
    <t>Akshaye Khanna</t>
  </si>
  <si>
    <t>Arjun Rampal</t>
  </si>
  <si>
    <t>Antagonist</t>
  </si>
  <si>
    <t>Lead (Jaskirat / Hamza)</t>
  </si>
  <si>
    <t>Multiple reports converge on ~₹50 Cr for the sequel as well.</t>
  </si>
  <si>
    <t>Sara Arjun</t>
  </si>
  <si>
    <t>Female lead</t>
  </si>
  <si>
    <t>Reported fee about ₹1 Cr.</t>
  </si>
  <si>
    <t>Reported fee about ₹10 Cr.</t>
  </si>
  <si>
    <t>Reported fee about ₹9 Cr.</t>
  </si>
  <si>
    <t>Platform</t>
  </si>
  <si>
    <t>Metric</t>
  </si>
  <si>
    <t>Value</t>
  </si>
  <si>
    <t>As of / context</t>
  </si>
  <si>
    <t>YouTube</t>
  </si>
  <si>
    <t>Official trailer views (all platforms, early run)</t>
  </si>
  <si>
    <t>Trailer crossed ~200M views across platforms shortly after launch.</t>
  </si>
  <si>
    <t>Official JioStudios Hindi trailer views</t>
  </si>
  <si>
    <t>Single‑channel trailer view count snapshot.</t>
  </si>
  <si>
    <t>Hindi trailer views in first 24 hours</t>
  </si>
  <si>
    <t>Hindi trailer views in first 24 hours on YouTube.</t>
  </si>
  <si>
    <t>YouTube + other</t>
  </si>
  <si>
    <t>Trailer views in first 48 hours (all platforms)</t>
  </si>
  <si>
    <t>Cross‑platform trailer views in first 48 hours.</t>
  </si>
  <si>
    <t>Overall sentiment (early consensus)</t>
  </si>
  <si>
    <t>Key themes</t>
  </si>
  <si>
    <t>X / Twitter</t>
  </si>
  <si>
    <t>Strongly positive with some criticism</t>
  </si>
  <si>
    <t>Praise for Ranveer, scale, music and action; criticism of length and ideological tone.</t>
  </si>
  <si>
    <t>Reddit</t>
  </si>
  <si>
    <t>Polarised but engaged</t>
  </si>
  <si>
    <t>Long-form debates on politics, violence and craft; repeated threads on box office milestones.</t>
  </si>
  <si>
    <t>Review aggregators</t>
  </si>
  <si>
    <t>Generally favourable</t>
  </si>
  <si>
    <t>High audience scores and solid critic reviews; some note hyper-nationalist framing.</t>
  </si>
  <si>
    <t>Positive to mixed‑positive in first 24–48 hours</t>
  </si>
  <si>
    <t>Applause for scale and set‑pieces; some feel narrative is less tight than Part 1.</t>
  </si>
  <si>
    <t>YouTube &amp; Instagram</t>
  </si>
  <si>
    <t>Highly engaged</t>
  </si>
  <si>
    <t>High trailer engagement, reaction videos, reels and edits using trailer audio.</t>
  </si>
  <si>
    <t>Category</t>
  </si>
  <si>
    <t>Item</t>
  </si>
  <si>
    <t>Status</t>
  </si>
  <si>
    <t>Box office – Dhurandhar</t>
  </si>
  <si>
    <t>India net and worldwide gross</t>
  </si>
  <si>
    <t>Sourced (range)</t>
  </si>
  <si>
    <t>Compiled from Sacnilk, Indian Express, Koimoi and producer statements; figures vary by outlet.</t>
  </si>
  <si>
    <t>Budget – Dhurandhar</t>
  </si>
  <si>
    <t>Production + P&amp;A</t>
  </si>
  <si>
    <t>Estimated (range)</t>
  </si>
  <si>
    <t>Multiple reports cite ₹225–280 Cr, including essays, news reports and social posts.</t>
  </si>
  <si>
    <t>Box office – Dhurandhar: The Revenge</t>
  </si>
  <si>
    <t>Opening previews + Day 1</t>
  </si>
  <si>
    <t>Sourced (early)</t>
  </si>
  <si>
    <t>Based on Sacnilk, Bollywood Hungama and live box office trackers as of 19 Mar 2026.</t>
  </si>
  <si>
    <t>Budget – Dhurandhar: The Revenge</t>
  </si>
  <si>
    <t>Trade and news reports place combined duology budget at ₹300–450 Cr; part‑wise apportionment is approximate.</t>
  </si>
  <si>
    <t>Cast salaries</t>
  </si>
  <si>
    <t>Lead and key support</t>
  </si>
  <si>
    <t>Estimated (reported ranges)</t>
  </si>
  <si>
    <t>Derived from entertainment news reports and social media breakdowns; not officially confirmed contracts.</t>
  </si>
  <si>
    <t>Community metrics</t>
  </si>
  <si>
    <t>Trailer views, social chatter</t>
  </si>
  <si>
    <t>Sourced (point‑in‑time)</t>
  </si>
  <si>
    <t>Taken from platform counters and news summaries; numbers shift over time.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</si>
</sst>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Font="1"/>
    <xf borderId="0" fillId="0" fontId="3" numFmtId="0" xfId="0" applyAlignment="1" applyFont="1">
      <alignment horizontal="right" vertical="center"/>
    </xf>
    <xf borderId="0" fillId="0" fontId="1" numFmtId="0" xfId="0" applyFont="1"/>
    <xf borderId="0" fillId="0" fontId="3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12.0"/>
    <col customWidth="1" min="3" max="3" width="14.0"/>
    <col customWidth="1" min="4" max="4" width="15.0"/>
    <col customWidth="1" min="5" max="5" width="40.0"/>
    <col customWidth="1" min="6" max="6" width="13.0"/>
    <col customWidth="1" min="7" max="7" width="40.0"/>
    <col customWidth="1" min="8" max="8" width="26.0"/>
    <col customWidth="1" min="9" max="9" width="40.0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2">
        <v>214.0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>
      <c r="A3" s="2" t="s">
        <v>17</v>
      </c>
      <c r="B3" s="2" t="s">
        <v>18</v>
      </c>
      <c r="C3" s="2" t="s">
        <v>19</v>
      </c>
      <c r="D3" s="2">
        <v>192.0</v>
      </c>
      <c r="E3" s="2" t="s">
        <v>20</v>
      </c>
      <c r="F3" s="2" t="s">
        <v>13</v>
      </c>
      <c r="G3" s="2" t="s">
        <v>14</v>
      </c>
      <c r="H3" s="2" t="s">
        <v>15</v>
      </c>
      <c r="I3" s="2" t="s">
        <v>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24.0"/>
    <col customWidth="1" min="3" max="4" width="21.0"/>
    <col customWidth="1" min="5" max="5" width="24.0"/>
    <col customWidth="1" min="6" max="6" width="20.0"/>
    <col customWidth="1" min="7" max="7" width="23.0"/>
    <col customWidth="1" min="8" max="8" width="24.0"/>
    <col customWidth="1" min="9" max="9" width="23.0"/>
    <col customWidth="1" min="10" max="10" width="33.0"/>
    <col customWidth="1" min="11" max="11" width="19.0"/>
    <col customWidth="1" min="12" max="12" width="30.0"/>
    <col customWidth="1" min="13" max="26" width="8.7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</row>
    <row r="2">
      <c r="A2" s="2" t="s">
        <v>9</v>
      </c>
      <c r="B2" s="3">
        <v>250.0</v>
      </c>
      <c r="C2" s="2" t="s">
        <v>33</v>
      </c>
      <c r="D2" s="3">
        <v>850.0</v>
      </c>
      <c r="E2" s="2" t="s">
        <v>34</v>
      </c>
      <c r="F2" s="3">
        <v>1000.0</v>
      </c>
      <c r="G2" s="3">
        <v>299.0</v>
      </c>
      <c r="H2" s="3">
        <v>1300.0</v>
      </c>
      <c r="I2" s="2" t="s">
        <v>35</v>
      </c>
      <c r="J2" s="3">
        <v>150.0</v>
      </c>
      <c r="K2" s="3">
        <v>3.65</v>
      </c>
      <c r="L2" s="3">
        <f t="shared" ref="L2:L3" si="1">H2/B2</f>
        <v>5.2</v>
      </c>
    </row>
    <row r="3">
      <c r="A3" s="2" t="s">
        <v>17</v>
      </c>
      <c r="B3" s="3">
        <v>275.0</v>
      </c>
      <c r="C3" s="2" t="s">
        <v>36</v>
      </c>
      <c r="D3" s="3">
        <v>140.0</v>
      </c>
      <c r="E3" s="2" t="s">
        <v>37</v>
      </c>
      <c r="F3" s="3">
        <v>175.0</v>
      </c>
      <c r="G3" s="3">
        <v>60.0</v>
      </c>
      <c r="H3" s="3">
        <v>235.0</v>
      </c>
      <c r="I3" s="2" t="s">
        <v>38</v>
      </c>
      <c r="J3" s="3">
        <v>245.0</v>
      </c>
      <c r="L3" s="3">
        <f t="shared" si="1"/>
        <v>0.8545454545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0"/>
    <col customWidth="1" min="2" max="2" width="34.0"/>
    <col customWidth="1" min="3" max="3" width="35.0"/>
    <col customWidth="1" min="4" max="4" width="40.0"/>
    <col customWidth="1" min="5" max="5" width="33.0"/>
    <col customWidth="1" min="6" max="26" width="8.71"/>
  </cols>
  <sheetData>
    <row r="1">
      <c r="A1" s="1" t="s">
        <v>0</v>
      </c>
      <c r="B1" s="1" t="s">
        <v>39</v>
      </c>
      <c r="C1" s="1" t="s">
        <v>40</v>
      </c>
      <c r="D1" s="1" t="s">
        <v>41</v>
      </c>
      <c r="E1" s="1" t="s">
        <v>42</v>
      </c>
    </row>
    <row r="2">
      <c r="A2" s="2" t="s">
        <v>9</v>
      </c>
      <c r="B2" s="3">
        <v>52.5</v>
      </c>
      <c r="C2" s="3">
        <v>47.5</v>
      </c>
      <c r="D2" s="3">
        <v>40.0</v>
      </c>
      <c r="E2" s="2">
        <v>60.0</v>
      </c>
    </row>
    <row r="3">
      <c r="A3" s="2" t="s">
        <v>43</v>
      </c>
      <c r="B3" s="3">
        <v>52.5</v>
      </c>
      <c r="C3" s="3">
        <v>47.5</v>
      </c>
      <c r="D3" s="3">
        <v>40.0</v>
      </c>
      <c r="E3" s="2">
        <v>60.0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36.0"/>
    <col customWidth="1" min="3" max="3" width="40.0"/>
    <col customWidth="1" min="4" max="26" width="8.71"/>
  </cols>
  <sheetData>
    <row r="1">
      <c r="A1" s="4" t="s">
        <v>0</v>
      </c>
      <c r="B1" s="4" t="s">
        <v>44</v>
      </c>
      <c r="C1" s="4" t="s">
        <v>45</v>
      </c>
    </row>
    <row r="2">
      <c r="A2" s="5" t="s">
        <v>9</v>
      </c>
      <c r="B2" s="5" t="s">
        <v>46</v>
      </c>
      <c r="C2" s="5" t="s">
        <v>47</v>
      </c>
    </row>
    <row r="3">
      <c r="A3" s="5" t="s">
        <v>9</v>
      </c>
      <c r="B3" s="5" t="s">
        <v>48</v>
      </c>
      <c r="C3" s="5" t="s">
        <v>49</v>
      </c>
    </row>
    <row r="4">
      <c r="A4" s="5" t="s">
        <v>9</v>
      </c>
      <c r="B4" s="5" t="s">
        <v>50</v>
      </c>
      <c r="C4" s="5" t="s">
        <v>51</v>
      </c>
    </row>
    <row r="5">
      <c r="A5" s="5" t="s">
        <v>17</v>
      </c>
      <c r="B5" s="5" t="s">
        <v>52</v>
      </c>
      <c r="C5" s="5" t="s">
        <v>53</v>
      </c>
    </row>
    <row r="6">
      <c r="A6" s="5" t="s">
        <v>17</v>
      </c>
      <c r="B6" s="5" t="s">
        <v>54</v>
      </c>
      <c r="C6" s="5" t="s">
        <v>55</v>
      </c>
    </row>
    <row r="7">
      <c r="A7" s="5" t="s">
        <v>17</v>
      </c>
      <c r="B7" s="5" t="s">
        <v>56</v>
      </c>
      <c r="C7" s="5" t="s">
        <v>57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26.0"/>
    <col customWidth="1" min="3" max="4" width="40.0"/>
    <col customWidth="1" min="5" max="26" width="8.71"/>
  </cols>
  <sheetData>
    <row r="1">
      <c r="A1" s="4" t="s">
        <v>0</v>
      </c>
      <c r="B1" s="4" t="s">
        <v>58</v>
      </c>
      <c r="C1" s="4" t="s">
        <v>59</v>
      </c>
      <c r="D1" s="4" t="s">
        <v>60</v>
      </c>
    </row>
    <row r="2">
      <c r="A2" s="5" t="s">
        <v>9</v>
      </c>
      <c r="B2" s="5" t="s">
        <v>15</v>
      </c>
      <c r="C2" s="5" t="s">
        <v>61</v>
      </c>
      <c r="D2" s="5" t="s">
        <v>62</v>
      </c>
    </row>
    <row r="3">
      <c r="A3" s="5" t="s">
        <v>17</v>
      </c>
      <c r="B3" s="5" t="s">
        <v>15</v>
      </c>
      <c r="C3" s="5" t="s">
        <v>63</v>
      </c>
      <c r="D3" s="5" t="s">
        <v>64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16.0"/>
    <col customWidth="1" min="3" max="3" width="25.0"/>
    <col customWidth="1" min="4" max="4" width="21.0"/>
    <col customWidth="1" min="5" max="5" width="83.43"/>
    <col customWidth="1" min="6" max="26" width="8.71"/>
  </cols>
  <sheetData>
    <row r="1">
      <c r="A1" s="4" t="s">
        <v>0</v>
      </c>
      <c r="B1" s="4" t="s">
        <v>65</v>
      </c>
      <c r="C1" s="4" t="s">
        <v>66</v>
      </c>
      <c r="D1" s="4" t="s">
        <v>67</v>
      </c>
      <c r="E1" s="4" t="s">
        <v>68</v>
      </c>
    </row>
    <row r="2">
      <c r="A2" s="5" t="s">
        <v>9</v>
      </c>
      <c r="B2" s="5" t="s">
        <v>69</v>
      </c>
      <c r="C2" s="5" t="s">
        <v>70</v>
      </c>
      <c r="D2" s="3">
        <v>50.0</v>
      </c>
      <c r="E2" s="5" t="s">
        <v>71</v>
      </c>
    </row>
    <row r="3">
      <c r="A3" s="5" t="s">
        <v>9</v>
      </c>
      <c r="B3" s="5" t="s">
        <v>72</v>
      </c>
      <c r="C3" s="5" t="s">
        <v>73</v>
      </c>
      <c r="D3" s="3">
        <v>8.0</v>
      </c>
      <c r="E3" s="5" t="s">
        <v>74</v>
      </c>
    </row>
    <row r="4">
      <c r="A4" s="5" t="s">
        <v>9</v>
      </c>
      <c r="B4" s="5" t="s">
        <v>75</v>
      </c>
      <c r="C4" s="5" t="s">
        <v>73</v>
      </c>
      <c r="D4" s="3">
        <v>9.0</v>
      </c>
      <c r="E4" s="5" t="s">
        <v>74</v>
      </c>
    </row>
    <row r="5">
      <c r="A5" s="5" t="s">
        <v>9</v>
      </c>
      <c r="B5" s="5" t="s">
        <v>76</v>
      </c>
      <c r="C5" s="5" t="s">
        <v>73</v>
      </c>
      <c r="D5" s="3">
        <v>3.0</v>
      </c>
      <c r="E5" s="5" t="s">
        <v>74</v>
      </c>
    </row>
    <row r="6">
      <c r="A6" s="5" t="s">
        <v>9</v>
      </c>
      <c r="B6" s="5" t="s">
        <v>77</v>
      </c>
      <c r="C6" s="5" t="s">
        <v>78</v>
      </c>
      <c r="D6" s="3">
        <v>1.0</v>
      </c>
      <c r="E6" s="5" t="s">
        <v>74</v>
      </c>
    </row>
    <row r="7">
      <c r="A7" s="5" t="s">
        <v>17</v>
      </c>
      <c r="B7" s="5" t="s">
        <v>69</v>
      </c>
      <c r="C7" s="5" t="s">
        <v>79</v>
      </c>
      <c r="D7" s="3">
        <v>50.0</v>
      </c>
      <c r="E7" s="5" t="s">
        <v>80</v>
      </c>
    </row>
    <row r="8">
      <c r="A8" s="5" t="s">
        <v>17</v>
      </c>
      <c r="B8" s="5" t="s">
        <v>81</v>
      </c>
      <c r="C8" s="5" t="s">
        <v>82</v>
      </c>
      <c r="D8" s="3">
        <v>1.0</v>
      </c>
      <c r="E8" s="5" t="s">
        <v>83</v>
      </c>
    </row>
    <row r="9">
      <c r="A9" s="5" t="s">
        <v>17</v>
      </c>
      <c r="B9" s="5" t="s">
        <v>72</v>
      </c>
      <c r="C9" s="5" t="s">
        <v>73</v>
      </c>
      <c r="D9" s="3">
        <v>10.0</v>
      </c>
      <c r="E9" s="5" t="s">
        <v>84</v>
      </c>
    </row>
    <row r="10">
      <c r="A10" s="5" t="s">
        <v>17</v>
      </c>
      <c r="B10" s="5" t="s">
        <v>75</v>
      </c>
      <c r="C10" s="5" t="s">
        <v>73</v>
      </c>
      <c r="D10" s="3">
        <v>9.0</v>
      </c>
      <c r="E10" s="5" t="s">
        <v>85</v>
      </c>
    </row>
    <row r="11">
      <c r="A11" s="5" t="s">
        <v>17</v>
      </c>
      <c r="B11" s="5" t="s">
        <v>77</v>
      </c>
      <c r="C11" s="5" t="s">
        <v>78</v>
      </c>
      <c r="D11" s="3">
        <v>1.0</v>
      </c>
      <c r="E11" s="5" t="s">
        <v>83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17.0"/>
    <col customWidth="1" min="3" max="3" width="40.0"/>
    <col customWidth="1" min="4" max="4" width="12.0"/>
    <col customWidth="1" min="5" max="5" width="40.0"/>
    <col customWidth="1" min="6" max="26" width="8.71"/>
  </cols>
  <sheetData>
    <row r="1">
      <c r="A1" s="4" t="s">
        <v>0</v>
      </c>
      <c r="B1" s="4" t="s">
        <v>86</v>
      </c>
      <c r="C1" s="4" t="s">
        <v>87</v>
      </c>
      <c r="D1" s="4" t="s">
        <v>88</v>
      </c>
      <c r="E1" s="4" t="s">
        <v>89</v>
      </c>
    </row>
    <row r="2">
      <c r="A2" s="5" t="s">
        <v>9</v>
      </c>
      <c r="B2" s="5" t="s">
        <v>90</v>
      </c>
      <c r="C2" s="5" t="s">
        <v>91</v>
      </c>
      <c r="D2" s="3">
        <v>2.0E8</v>
      </c>
      <c r="E2" s="5" t="s">
        <v>92</v>
      </c>
    </row>
    <row r="3">
      <c r="A3" s="5" t="s">
        <v>9</v>
      </c>
      <c r="B3" s="5" t="s">
        <v>90</v>
      </c>
      <c r="C3" s="5" t="s">
        <v>93</v>
      </c>
      <c r="D3" s="3">
        <v>7.2E7</v>
      </c>
      <c r="E3" s="5" t="s">
        <v>94</v>
      </c>
    </row>
    <row r="4">
      <c r="A4" s="5" t="s">
        <v>17</v>
      </c>
      <c r="B4" s="5" t="s">
        <v>90</v>
      </c>
      <c r="C4" s="5" t="s">
        <v>95</v>
      </c>
      <c r="D4" s="3">
        <v>3.92E7</v>
      </c>
      <c r="E4" s="5" t="s">
        <v>96</v>
      </c>
    </row>
    <row r="5">
      <c r="A5" s="5" t="s">
        <v>17</v>
      </c>
      <c r="B5" s="5" t="s">
        <v>97</v>
      </c>
      <c r="C5" s="5" t="s">
        <v>98</v>
      </c>
      <c r="D5" s="3">
        <v>3.12E8</v>
      </c>
      <c r="E5" s="5" t="s">
        <v>99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21.0"/>
    <col customWidth="1" min="3" max="4" width="40.0"/>
    <col customWidth="1" min="5" max="26" width="8.71"/>
  </cols>
  <sheetData>
    <row r="1">
      <c r="A1" s="4" t="s">
        <v>0</v>
      </c>
      <c r="B1" s="4" t="s">
        <v>86</v>
      </c>
      <c r="C1" s="4" t="s">
        <v>100</v>
      </c>
      <c r="D1" s="4" t="s">
        <v>101</v>
      </c>
    </row>
    <row r="2">
      <c r="A2" s="5" t="s">
        <v>9</v>
      </c>
      <c r="B2" s="5" t="s">
        <v>102</v>
      </c>
      <c r="C2" s="5" t="s">
        <v>103</v>
      </c>
      <c r="D2" s="5" t="s">
        <v>104</v>
      </c>
    </row>
    <row r="3">
      <c r="A3" s="5" t="s">
        <v>9</v>
      </c>
      <c r="B3" s="5" t="s">
        <v>105</v>
      </c>
      <c r="C3" s="5" t="s">
        <v>106</v>
      </c>
      <c r="D3" s="5" t="s">
        <v>107</v>
      </c>
    </row>
    <row r="4">
      <c r="A4" s="5" t="s">
        <v>9</v>
      </c>
      <c r="B4" s="5" t="s">
        <v>108</v>
      </c>
      <c r="C4" s="5" t="s">
        <v>109</v>
      </c>
      <c r="D4" s="5" t="s">
        <v>110</v>
      </c>
    </row>
    <row r="5">
      <c r="A5" s="5" t="s">
        <v>17</v>
      </c>
      <c r="B5" s="5" t="s">
        <v>102</v>
      </c>
      <c r="C5" s="5" t="s">
        <v>111</v>
      </c>
      <c r="D5" s="5" t="s">
        <v>112</v>
      </c>
    </row>
    <row r="6">
      <c r="A6" s="5" t="s">
        <v>17</v>
      </c>
      <c r="B6" s="5" t="s">
        <v>113</v>
      </c>
      <c r="C6" s="5" t="s">
        <v>114</v>
      </c>
      <c r="D6" s="5" t="s">
        <v>115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0"/>
    <col customWidth="1" min="2" max="2" width="31.0"/>
    <col customWidth="1" min="3" max="3" width="29.0"/>
    <col customWidth="1" min="4" max="4" width="40.0"/>
    <col customWidth="1" min="5" max="26" width="8.71"/>
  </cols>
  <sheetData>
    <row r="1">
      <c r="A1" s="4" t="s">
        <v>116</v>
      </c>
      <c r="B1" s="4" t="s">
        <v>117</v>
      </c>
      <c r="C1" s="4" t="s">
        <v>118</v>
      </c>
      <c r="D1" s="4" t="s">
        <v>68</v>
      </c>
    </row>
    <row r="2">
      <c r="A2" s="5" t="s">
        <v>119</v>
      </c>
      <c r="B2" s="5" t="s">
        <v>120</v>
      </c>
      <c r="C2" s="5" t="s">
        <v>121</v>
      </c>
      <c r="D2" s="5" t="s">
        <v>122</v>
      </c>
    </row>
    <row r="3">
      <c r="A3" s="5" t="s">
        <v>123</v>
      </c>
      <c r="B3" s="5" t="s">
        <v>124</v>
      </c>
      <c r="C3" s="5" t="s">
        <v>125</v>
      </c>
      <c r="D3" s="5" t="s">
        <v>126</v>
      </c>
    </row>
    <row r="4">
      <c r="A4" s="5" t="s">
        <v>127</v>
      </c>
      <c r="B4" s="5" t="s">
        <v>128</v>
      </c>
      <c r="C4" s="5" t="s">
        <v>129</v>
      </c>
      <c r="D4" s="5" t="s">
        <v>130</v>
      </c>
    </row>
    <row r="5">
      <c r="A5" s="5" t="s">
        <v>131</v>
      </c>
      <c r="B5" s="5" t="s">
        <v>124</v>
      </c>
      <c r="C5" s="5" t="s">
        <v>125</v>
      </c>
      <c r="D5" s="5" t="s">
        <v>132</v>
      </c>
    </row>
    <row r="6">
      <c r="A6" s="5" t="s">
        <v>133</v>
      </c>
      <c r="B6" s="5" t="s">
        <v>134</v>
      </c>
      <c r="C6" s="5" t="s">
        <v>135</v>
      </c>
      <c r="D6" s="5" t="s">
        <v>136</v>
      </c>
    </row>
    <row r="7">
      <c r="A7" s="5" t="s">
        <v>137</v>
      </c>
      <c r="B7" s="5" t="s">
        <v>138</v>
      </c>
      <c r="C7" s="5" t="s">
        <v>139</v>
      </c>
      <c r="D7" s="5" t="s">
        <v>140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2026-03-20T03:12:18Z</dcterms:created>
  <dc:creator>openpyxl</dc:creator>
</cp:coreProperties>
</file>